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3a9f96df63d9ae2/Juan Jose/Mercadeo GLP en Bogota/"/>
    </mc:Choice>
  </mc:AlternateContent>
  <xr:revisionPtr revIDLastSave="30" documentId="8_{8B0FAE28-9AFC-A044-A5D7-F1C88FEA1411}" xr6:coauthVersionLast="47" xr6:coauthVersionMax="47" xr10:uidLastSave="{86D6DA7F-7D20-4649-B199-83577E1A5D06}"/>
  <bookViews>
    <workbookView xWindow="-108" yWindow="-108" windowWidth="23256" windowHeight="12576" activeTab="1" xr2:uid="{00000000-000D-0000-FFFF-FFFF00000000}"/>
  </bookViews>
  <sheets>
    <sheet name="00_Supuestos" sheetId="1" r:id="rId1"/>
    <sheet name="01_Presupuesto" sheetId="2" r:id="rId2"/>
    <sheet name="02_Resumen" sheetId="3" r:id="rId3"/>
    <sheet name="03_Instrucciones" sheetId="4" r:id="rId4"/>
  </sheets>
  <definedNames>
    <definedName name="_xlnm._FilterDatabase" localSheetId="1" hidden="1">'01_Presupuesto'!$A$1:$AA$1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Z11" i="2"/>
  <c r="O11" i="2"/>
  <c r="K11" i="2"/>
  <c r="Q3" i="2"/>
  <c r="X11" i="2" l="1"/>
  <c r="P11" i="2"/>
  <c r="R11" i="2"/>
  <c r="V11" i="2"/>
  <c r="AA11" i="2" l="1"/>
  <c r="K13" i="2" l="1"/>
  <c r="X13" i="2" s="1"/>
  <c r="L7" i="3"/>
  <c r="K7" i="3"/>
  <c r="J7" i="3"/>
  <c r="I7" i="3"/>
  <c r="H7" i="3"/>
  <c r="G7" i="3"/>
  <c r="F7" i="3"/>
  <c r="E7" i="3"/>
  <c r="D7" i="3"/>
  <c r="C7" i="3"/>
  <c r="M7" i="3"/>
  <c r="J12" i="3"/>
  <c r="I12" i="3"/>
  <c r="H12" i="3"/>
  <c r="G12" i="3"/>
  <c r="F12" i="3"/>
  <c r="E12" i="3"/>
  <c r="D12" i="3"/>
  <c r="C12" i="3"/>
  <c r="B12" i="3"/>
  <c r="M12" i="3"/>
  <c r="K12" i="2"/>
  <c r="Y12" i="2" s="1"/>
  <c r="O10" i="2"/>
  <c r="K10" i="2"/>
  <c r="Z9" i="2"/>
  <c r="Y9" i="2"/>
  <c r="X9" i="2"/>
  <c r="W9" i="2"/>
  <c r="V9" i="2"/>
  <c r="U9" i="2"/>
  <c r="T9" i="2"/>
  <c r="S9" i="2"/>
  <c r="R9" i="2"/>
  <c r="K9" i="2"/>
  <c r="Q9" i="2" s="1"/>
  <c r="K8" i="2"/>
  <c r="P7" i="2"/>
  <c r="C4" i="3" s="1"/>
  <c r="O7" i="2"/>
  <c r="B4" i="3" s="1"/>
  <c r="K7" i="2"/>
  <c r="U7" i="2" s="1"/>
  <c r="H4" i="3" s="1"/>
  <c r="K6" i="2"/>
  <c r="W6" i="2" s="1"/>
  <c r="K5" i="2"/>
  <c r="O5" i="2" s="1"/>
  <c r="K4" i="2"/>
  <c r="S4" i="2" s="1"/>
  <c r="Z3" i="2"/>
  <c r="Y3" i="2"/>
  <c r="X3" i="2"/>
  <c r="W3" i="2"/>
  <c r="V3" i="2"/>
  <c r="U3" i="2"/>
  <c r="T3" i="2"/>
  <c r="S3" i="2"/>
  <c r="R3" i="2"/>
  <c r="P3" i="2"/>
  <c r="K3" i="2"/>
  <c r="O3" i="2" s="1"/>
  <c r="T12" i="2" l="1"/>
  <c r="Q6" i="2"/>
  <c r="K9" i="3"/>
  <c r="W12" i="2"/>
  <c r="Q5" i="2"/>
  <c r="K12" i="3"/>
  <c r="O9" i="2"/>
  <c r="P9" i="2"/>
  <c r="C5" i="3" s="1"/>
  <c r="U4" i="2"/>
  <c r="R12" i="2"/>
  <c r="Y5" i="2"/>
  <c r="Y6" i="2"/>
  <c r="P5" i="2"/>
  <c r="Z5" i="2"/>
  <c r="O6" i="2"/>
  <c r="Z6" i="2"/>
  <c r="W7" i="2"/>
  <c r="J4" i="3" s="1"/>
  <c r="J9" i="3"/>
  <c r="U12" i="2"/>
  <c r="S5" i="2"/>
  <c r="T6" i="2"/>
  <c r="O12" i="2"/>
  <c r="Z12" i="2"/>
  <c r="R5" i="2"/>
  <c r="Z7" i="2"/>
  <c r="M4" i="3" s="1"/>
  <c r="M9" i="3"/>
  <c r="X12" i="2"/>
  <c r="U5" i="2"/>
  <c r="U6" i="2"/>
  <c r="Q7" i="2"/>
  <c r="D4" i="3" s="1"/>
  <c r="B5" i="3"/>
  <c r="Z10" i="2"/>
  <c r="M6" i="3" s="1"/>
  <c r="R10" i="2"/>
  <c r="V10" i="2"/>
  <c r="I6" i="3" s="1"/>
  <c r="Y10" i="2"/>
  <c r="L6" i="3" s="1"/>
  <c r="Q10" i="2"/>
  <c r="D6" i="3" s="1"/>
  <c r="X10" i="2"/>
  <c r="K6" i="3" s="1"/>
  <c r="W10" i="2"/>
  <c r="T10" i="2"/>
  <c r="G6" i="3" s="1"/>
  <c r="S10" i="2"/>
  <c r="F6" i="3" s="1"/>
  <c r="U10" i="2"/>
  <c r="H6" i="3" s="1"/>
  <c r="P12" i="2"/>
  <c r="Y7" i="2"/>
  <c r="L4" i="3" s="1"/>
  <c r="S6" i="2"/>
  <c r="O4" i="2"/>
  <c r="B13" i="3" s="1"/>
  <c r="V5" i="2"/>
  <c r="V6" i="2"/>
  <c r="R7" i="2"/>
  <c r="E4" i="3" s="1"/>
  <c r="E9" i="3"/>
  <c r="Q12" i="2"/>
  <c r="X5" i="2"/>
  <c r="T7" i="2"/>
  <c r="G4" i="3" s="1"/>
  <c r="G9" i="3"/>
  <c r="V4" i="2"/>
  <c r="R4" i="2"/>
  <c r="X7" i="2"/>
  <c r="K4" i="3" s="1"/>
  <c r="F9" i="3"/>
  <c r="S12" i="2"/>
  <c r="T4" i="2"/>
  <c r="T5" i="2"/>
  <c r="P6" i="2"/>
  <c r="R6" i="2"/>
  <c r="X6" i="2"/>
  <c r="S7" i="2"/>
  <c r="F4" i="3" s="1"/>
  <c r="P8" i="2"/>
  <c r="O8" i="2"/>
  <c r="I9" i="3"/>
  <c r="V12" i="2"/>
  <c r="L12" i="3"/>
  <c r="K11" i="3"/>
  <c r="X4" i="2"/>
  <c r="D5" i="3"/>
  <c r="W5" i="2"/>
  <c r="V7" i="2"/>
  <c r="I4" i="3" s="1"/>
  <c r="S13" i="2"/>
  <c r="X8" i="2"/>
  <c r="W8" i="2"/>
  <c r="V8" i="2"/>
  <c r="U8" i="2"/>
  <c r="Y8" i="2"/>
  <c r="T8" i="2"/>
  <c r="S8" i="2"/>
  <c r="Q8" i="2"/>
  <c r="Z8" i="2"/>
  <c r="R8" i="2"/>
  <c r="B6" i="3"/>
  <c r="T13" i="2"/>
  <c r="L5" i="3"/>
  <c r="C9" i="3"/>
  <c r="H5" i="3"/>
  <c r="J5" i="3"/>
  <c r="Q13" i="2"/>
  <c r="Y13" i="2"/>
  <c r="R13" i="2"/>
  <c r="Z13" i="2"/>
  <c r="M11" i="3" s="1"/>
  <c r="J6" i="3"/>
  <c r="U13" i="2"/>
  <c r="L9" i="3"/>
  <c r="P10" i="2"/>
  <c r="C6" i="3" s="1"/>
  <c r="V13" i="2"/>
  <c r="O13" i="2"/>
  <c r="W13" i="2"/>
  <c r="P13" i="2"/>
  <c r="I5" i="3"/>
  <c r="K5" i="3"/>
  <c r="W4" i="2"/>
  <c r="E5" i="3"/>
  <c r="M5" i="3"/>
  <c r="P4" i="2"/>
  <c r="Y4" i="2"/>
  <c r="H9" i="3"/>
  <c r="Q4" i="2"/>
  <c r="F5" i="3"/>
  <c r="G5" i="3"/>
  <c r="B9" i="3"/>
  <c r="D9" i="3"/>
  <c r="AA3" i="2"/>
  <c r="B7" i="3"/>
  <c r="N7" i="3" s="1"/>
  <c r="Z4" i="2"/>
  <c r="F10" i="3" l="1"/>
  <c r="L11" i="3"/>
  <c r="D10" i="3"/>
  <c r="AA9" i="2"/>
  <c r="J11" i="3"/>
  <c r="N12" i="3"/>
  <c r="G11" i="3"/>
  <c r="K13" i="3"/>
  <c r="AA6" i="2"/>
  <c r="B11" i="3"/>
  <c r="F11" i="3"/>
  <c r="L13" i="3"/>
  <c r="I11" i="3"/>
  <c r="F13" i="3"/>
  <c r="C13" i="3"/>
  <c r="E13" i="3"/>
  <c r="AA12" i="2"/>
  <c r="M13" i="3"/>
  <c r="D11" i="3"/>
  <c r="E11" i="3"/>
  <c r="I13" i="3"/>
  <c r="H13" i="3"/>
  <c r="H11" i="3"/>
  <c r="J13" i="3"/>
  <c r="C10" i="3"/>
  <c r="AA5" i="2"/>
  <c r="N4" i="3"/>
  <c r="M8" i="3"/>
  <c r="G13" i="3"/>
  <c r="D8" i="3"/>
  <c r="B10" i="3"/>
  <c r="G8" i="3"/>
  <c r="G10" i="3"/>
  <c r="C11" i="3"/>
  <c r="K10" i="3"/>
  <c r="M10" i="3"/>
  <c r="F8" i="3"/>
  <c r="J10" i="3"/>
  <c r="D13" i="3"/>
  <c r="AA7" i="2"/>
  <c r="AA10" i="2"/>
  <c r="I10" i="3"/>
  <c r="L10" i="3"/>
  <c r="J8" i="3"/>
  <c r="AA8" i="2"/>
  <c r="H10" i="3"/>
  <c r="AA13" i="2"/>
  <c r="E6" i="3"/>
  <c r="N6" i="3" s="1"/>
  <c r="H8" i="3"/>
  <c r="B8" i="3"/>
  <c r="L8" i="3"/>
  <c r="I8" i="3"/>
  <c r="C8" i="3"/>
  <c r="E8" i="3"/>
  <c r="K8" i="3"/>
  <c r="AA4" i="2"/>
  <c r="N5" i="3"/>
  <c r="E10" i="3"/>
  <c r="N9" i="3"/>
  <c r="F14" i="3" l="1"/>
  <c r="K14" i="3"/>
  <c r="N13" i="3"/>
  <c r="B14" i="3"/>
  <c r="J14" i="3"/>
  <c r="N11" i="3"/>
  <c r="G14" i="3"/>
  <c r="D14" i="3"/>
  <c r="C14" i="3"/>
  <c r="M14" i="3"/>
  <c r="I14" i="3"/>
  <c r="N10" i="3"/>
  <c r="AA15" i="2"/>
  <c r="AA16" i="2" s="1"/>
  <c r="L14" i="3"/>
  <c r="H14" i="3"/>
  <c r="N8" i="3"/>
  <c r="E14" i="3"/>
  <c r="N1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tc={1403D5E4-F67D-4551-B577-5E01BA860CF1}</author>
    <author>tc={1D992549-C1B0-43EE-BB55-5F86B8D55AA3}</author>
  </authors>
  <commentList>
    <comment ref="I5" authorId="0" shapeId="0" xr:uid="{1403D5E4-F67D-4551-B577-5E01BA860C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Refrigerios, Salon</t>
      </text>
    </comment>
    <comment ref="C7" authorId="1" shapeId="0" xr:uid="{1D992549-C1B0-43EE-BB55-5F86B8D55A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Mantenimiento Aliados</t>
      </text>
    </comment>
  </commentList>
</comments>
</file>

<file path=xl/sharedStrings.xml><?xml version="1.0" encoding="utf-8"?>
<sst xmlns="http://schemas.openxmlformats.org/spreadsheetml/2006/main" count="165" uniqueCount="113">
  <si>
    <t>Supuestos clave (editar celdas azules)</t>
  </si>
  <si>
    <t>TRM USD/COP</t>
  </si>
  <si>
    <t>Moneda base del archivo</t>
  </si>
  <si>
    <t>COP</t>
  </si>
  <si>
    <t>Notas</t>
  </si>
  <si>
    <t>1) Si una línea está en USD, el modelo la convierte a COP usando la TRM.</t>
  </si>
  <si>
    <t>2) Ajusta Mes Inicio / Mes Fin según el cronograma real.</t>
  </si>
  <si>
    <t>Rubro</t>
  </si>
  <si>
    <t>Subrubro</t>
  </si>
  <si>
    <t>Actividad (del plan)</t>
  </si>
  <si>
    <t>Fuente (Mes/Workstream)</t>
  </si>
  <si>
    <t>Responsable</t>
  </si>
  <si>
    <t>Tipo costo</t>
  </si>
  <si>
    <t>Driver/Unidad</t>
  </si>
  <si>
    <t>Qty por mes</t>
  </si>
  <si>
    <t>Costo unitario</t>
  </si>
  <si>
    <t>Moneda</t>
  </si>
  <si>
    <t>TRM</t>
  </si>
  <si>
    <t>Mes inicio</t>
  </si>
  <si>
    <t>Mes fin</t>
  </si>
  <si>
    <t>Notas/Supuestos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</si>
  <si>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</si>
  <si>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</si>
  <si>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</si>
  <si>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</si>
  <si>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</si>
  <si>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</si>
  <si>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</si>
  <si>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</si>
  <si>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</si>
  <si>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</si>
  <si>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</si>
  <si>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</si>
  <si>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Total Año (COP)</t>
  </si>
  <si>
    <t>Estrategia/Producto</t>
  </si>
  <si>
    <t>Material comercial</t>
  </si>
  <si>
    <t>Mes 1</t>
  </si>
  <si>
    <t>One-off</t>
  </si>
  <si>
    <t>Guía</t>
  </si>
  <si>
    <t>Documento base para apertura. Ver Mes 1.</t>
  </si>
  <si>
    <t>Paquete</t>
  </si>
  <si>
    <t>Ventas &amp; CRM</t>
  </si>
  <si>
    <t>Herramientas</t>
  </si>
  <si>
    <t>CRM + etapas + SLA (licencia + configuración)</t>
  </si>
  <si>
    <t>Mes 1 / Workstream C</t>
  </si>
  <si>
    <t>Comercial</t>
  </si>
  <si>
    <t>Fijo</t>
  </si>
  <si>
    <t>Mes</t>
  </si>
  <si>
    <t>USD</t>
  </si>
  <si>
    <t>Licencia mensual + implementación inicial.</t>
  </si>
  <si>
    <t>Entrenamiento</t>
  </si>
  <si>
    <t>Entrenamiento semanal (equipo comercial)</t>
  </si>
  <si>
    <t>Workstream C</t>
  </si>
  <si>
    <t>Sesiones internas o coach externo.</t>
  </si>
  <si>
    <t>Legal/Compliance &amp; FX</t>
  </si>
  <si>
    <t>Dir. Bogotá</t>
  </si>
  <si>
    <t>Marketing Digital</t>
  </si>
  <si>
    <t>Pauta</t>
  </si>
  <si>
    <t>Mes 2 / Workstream B</t>
  </si>
  <si>
    <t>Mkt</t>
  </si>
  <si>
    <t>Variable</t>
  </si>
  <si>
    <t>Eventos &amp; PR</t>
  </si>
  <si>
    <t>Evento</t>
  </si>
  <si>
    <t>Alianzas</t>
  </si>
  <si>
    <t>Programa aliados</t>
  </si>
  <si>
    <t>Activación de alianzas: wealth managers, firmas contables/tributarias, abogados patrimoniales, gremios, banca FX</t>
  </si>
  <si>
    <t>Mes 3</t>
  </si>
  <si>
    <t>Reuniones, materiales, seguimiento, posibles patrocinios.</t>
  </si>
  <si>
    <t>Contenido</t>
  </si>
  <si>
    <t>Mes 3 / Workstream B</t>
  </si>
  <si>
    <t>Producción mensual + edición.</t>
  </si>
  <si>
    <t>Marca/Presencia</t>
  </si>
  <si>
    <t>Paquetes</t>
  </si>
  <si>
    <t>“Kit Inversionista Bogotá” (checklist, timeline, costos, riesgos) + 3 rutas (Esencial/Patrimonial/Family Office) + simuladores simples</t>
  </si>
  <si>
    <t>Mes 6 / Workstream A,G</t>
  </si>
  <si>
    <t>Mkt+Legal</t>
  </si>
  <si>
    <t>Incluye diseño, revisión legal y tributaria.</t>
  </si>
  <si>
    <t>Eventos recurrentes</t>
  </si>
  <si>
    <t>Eventos focalizados (4 eventos/mes Mar–Dic)</t>
  </si>
  <si>
    <t>Workstream D</t>
  </si>
  <si>
    <t>Ejecutar mensualmente. Ajusta # eventos y costo/evento.</t>
  </si>
  <si>
    <t>Influencers</t>
  </si>
  <si>
    <t>Micro-influencers (finanzas/real estate) + contenido educativo</t>
  </si>
  <si>
    <t>Mes 9</t>
  </si>
  <si>
    <t>Campaña</t>
  </si>
  <si>
    <t>Pago + producción; elegir por credibilidad.</t>
  </si>
  <si>
    <t>Postventa &amp; Comunidad</t>
  </si>
  <si>
    <t>Gestión &amp; Control</t>
  </si>
  <si>
    <t>Operación</t>
  </si>
  <si>
    <t>Equipo</t>
  </si>
  <si>
    <t>Workstream C (Actores)</t>
  </si>
  <si>
    <t>RRHH</t>
  </si>
  <si>
    <t>Nómina + prestaciones + comisiones (si se incluyen aquí).</t>
  </si>
  <si>
    <t>Resumen por rubro y por mes (COP)</t>
  </si>
  <si>
    <t>Total Año</t>
  </si>
  <si>
    <t>TOTAL</t>
  </si>
  <si>
    <t>1) En '00_Supuestos' ajusta TRM USD/COP.</t>
  </si>
  <si>
    <t>2) En '01_Presupuesto' llena en azul: Qty por mes, Costo unitario, Moneda, Mes inicio y Mes fin.</t>
  </si>
  <si>
    <t>3) El modelo calcula automáticamente los montos por mes (en COP) y el total anual.</t>
  </si>
  <si>
    <t>4) Revisa '02_Resumen' para ver totales por rubro y el total general.</t>
  </si>
  <si>
    <t>Tip: Para costos 'one-off' pon Mes inicio = Mes fin (mismo mes). Para costos recurrentes, define el rango de meses.</t>
  </si>
  <si>
    <t>Cómo usar esta plantilla</t>
  </si>
  <si>
    <t>Elaboracion de la Guía “Invierte en Panamá con tranquilidad” (versión Bogotá): pasos, tiempos, documentos, pagos, FAQs</t>
  </si>
  <si>
    <t>Dir. Bogotá + Agencia</t>
  </si>
  <si>
    <t>Dir. Bogotá + Soporte de IT local + IT Panama</t>
  </si>
  <si>
    <t>Dir. Bogotá +  MKt</t>
  </si>
  <si>
    <t>Direccion comercial (director comercial, inside sales, closers, soporte)</t>
  </si>
  <si>
    <t>Ejecutar mensualmente. Ajusta # Asistente, viajes y alcance</t>
  </si>
  <si>
    <t>WCM</t>
  </si>
  <si>
    <t>TOUR CLIENTES POTENCIALES</t>
  </si>
  <si>
    <t>Para mantener presencia de marca validar mensajes/segmentos.</t>
  </si>
  <si>
    <t>Comunity Manager para Calendario de contenidos + producción (video corto, testimonios, comparativos, agencia performance, creador audiovisual, copy)</t>
  </si>
  <si>
    <t>Campañas  por segmento (performance), proveedores de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</si>
</sst>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yyyy\-mm\-dd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indexed="64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 style="thin">
        <color rgb="FFD1D5DB"/>
      </left>
      <right/>
      <top/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indexed="64"/>
      </bottom>
      <diagonal/>
    </border>
    <border>
      <left style="thin">
        <color rgb="FFD1D5DB"/>
      </left>
      <right/>
      <top style="thin">
        <color rgb="FFD1D5DB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/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2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7" fontId="2" fillId="0" borderId="1" xfId="0" applyNumberFormat="1" applyFont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2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7" fontId="2" fillId="0" borderId="2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5" borderId="2" xfId="0" applyFill="1" applyBorder="1" applyAlignment="1">
      <alignment vertical="center" wrapText="1"/>
    </xf>
    <xf numFmtId="165" fontId="0" fillId="0" borderId="0" xfId="1" applyNumberFormat="1" applyFont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2" fontId="2" fillId="0" borderId="7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17" fontId="2" fillId="0" borderId="7" xfId="0" applyNumberFormat="1" applyFont="1" applyBorder="1" applyAlignment="1">
      <alignment vertical="center"/>
    </xf>
    <xf numFmtId="0" fontId="0" fillId="0" borderId="7" xfId="0" applyBorder="1" applyAlignment="1">
      <alignment vertical="center" wrapText="1"/>
    </xf>
    <xf numFmtId="3" fontId="5" fillId="0" borderId="7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2" fontId="2" fillId="0" borderId="11" xfId="0" applyNumberFormat="1" applyFont="1" applyBorder="1" applyAlignment="1">
      <alignment vertical="center"/>
    </xf>
    <xf numFmtId="3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3" fontId="5" fillId="0" borderId="11" xfId="0" applyNumberFormat="1" applyFont="1" applyBorder="1" applyAlignment="1">
      <alignment vertical="center"/>
    </xf>
    <xf numFmtId="17" fontId="2" fillId="0" borderId="11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 wrapText="1"/>
    </xf>
    <xf numFmtId="3" fontId="5" fillId="0" borderId="10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3" fontId="5" fillId="0" borderId="13" xfId="0" applyNumberFormat="1" applyFont="1" applyBorder="1" applyAlignment="1">
      <alignment vertical="center"/>
    </xf>
    <xf numFmtId="17" fontId="2" fillId="0" borderId="13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2" fontId="2" fillId="0" borderId="11" xfId="0" applyNumberFormat="1" applyFont="1" applyFill="1" applyBorder="1" applyAlignment="1">
      <alignment vertical="center"/>
    </xf>
    <xf numFmtId="3" fontId="2" fillId="0" borderId="11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vertical="center"/>
    </xf>
    <xf numFmtId="17" fontId="2" fillId="0" borderId="11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 wrapText="1"/>
    </xf>
    <xf numFmtId="3" fontId="5" fillId="0" borderId="10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ando Hortua" id="{74F13C78-6F04-4EB4-895E-04F294593348}" userId="83a9f96df63d9ae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6-01-23T23:03:10.43" personId="{74F13C78-6F04-4EB4-895E-04F294593348}" id="{1403D5E4-F67D-4551-B577-5E01BA860CF1}">
    <text>Refrigerios, Salon</text>
  </threadedComment>
  <threadedComment ref="C7" dT="2026-01-23T23:21:01.29" personId="{74F13C78-6F04-4EB4-895E-04F294593348}" id="{1D992549-C1B0-43EE-BB55-5F86B8D55AA3}">
    <text>Mantenimiento Aliados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activeCell="B5" sqref="B5"/>
    </sheetView>
  </sheetViews>
  <sheetFormatPr baseColWidth="10" defaultColWidth="8.77734375" defaultRowHeight="14.4" x14ac:dyDescent="0.3"/>
  <cols>
    <col min="1" max="1" width="35" customWidth="1"/>
    <col min="2" max="2" width="18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  <c r="B3" s="3">
        <v>3800</v>
      </c>
    </row>
    <row r="4" spans="1:2" x14ac:dyDescent="0.3">
      <c r="A4" s="2" t="s">
        <v>2</v>
      </c>
      <c r="B4" s="3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"/>
  <sheetViews>
    <sheetView showGridLines="0" tabSelected="1" zoomScale="95" zoomScaleNormal="120" workbookViewId="0">
      <pane ySplit="1" topLeftCell="A8" activePane="bottomLeft" state="frozen"/>
      <selection pane="bottomLeft" activeCell="E16" sqref="E16"/>
    </sheetView>
  </sheetViews>
  <sheetFormatPr baseColWidth="10" defaultColWidth="8.77734375" defaultRowHeight="14.4" x14ac:dyDescent="0.3"/>
  <cols>
    <col min="1" max="1" width="22.33203125" style="18" customWidth="1"/>
    <col min="2" max="2" width="26.109375" style="18" customWidth="1"/>
    <col min="3" max="3" width="47.44140625" style="18" customWidth="1"/>
    <col min="4" max="4" width="22" style="18" hidden="1" customWidth="1"/>
    <col min="5" max="5" width="16" style="18" customWidth="1"/>
    <col min="6" max="6" width="12" style="18" hidden="1" customWidth="1"/>
    <col min="7" max="7" width="16" style="18" customWidth="1"/>
    <col min="8" max="8" width="11" style="18" customWidth="1"/>
    <col min="9" max="9" width="14" style="18" customWidth="1"/>
    <col min="10" max="10" width="9" style="18" customWidth="1"/>
    <col min="11" max="11" width="8" style="18" customWidth="1"/>
    <col min="12" max="13" width="11" style="18" customWidth="1"/>
    <col min="14" max="14" width="27.109375" style="18" customWidth="1"/>
    <col min="15" max="26" width="11" style="18" customWidth="1"/>
    <col min="27" max="27" width="16" style="18" customWidth="1"/>
    <col min="28" max="16384" width="8.77734375" style="18"/>
  </cols>
  <sheetData>
    <row r="1" spans="1:27" ht="28.8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5" t="s">
        <v>33</v>
      </c>
    </row>
    <row r="2" spans="1:2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>
        <v>46054</v>
      </c>
      <c r="P2" s="20">
        <v>46082</v>
      </c>
      <c r="Q2" s="20">
        <v>46113</v>
      </c>
      <c r="R2" s="20">
        <v>46143</v>
      </c>
      <c r="S2" s="20">
        <v>46174</v>
      </c>
      <c r="T2" s="20">
        <v>46204</v>
      </c>
      <c r="U2" s="20">
        <v>46235</v>
      </c>
      <c r="V2" s="20">
        <v>46266</v>
      </c>
      <c r="W2" s="20">
        <v>46296</v>
      </c>
      <c r="X2" s="20">
        <v>46327</v>
      </c>
      <c r="Y2" s="20">
        <v>46357</v>
      </c>
      <c r="Z2" s="20">
        <v>46388</v>
      </c>
      <c r="AA2" s="21"/>
    </row>
    <row r="3" spans="1:27" ht="43.8" thickBot="1" x14ac:dyDescent="0.35">
      <c r="A3" s="22" t="s">
        <v>34</v>
      </c>
      <c r="B3" s="22" t="s">
        <v>35</v>
      </c>
      <c r="C3" s="23" t="s">
        <v>102</v>
      </c>
      <c r="D3" s="22" t="s">
        <v>36</v>
      </c>
      <c r="E3" s="29" t="s">
        <v>103</v>
      </c>
      <c r="F3" s="6" t="s">
        <v>37</v>
      </c>
      <c r="G3" s="6" t="s">
        <v>38</v>
      </c>
      <c r="H3" s="24">
        <v>1</v>
      </c>
      <c r="I3" s="25">
        <v>5000</v>
      </c>
      <c r="J3" s="26" t="s">
        <v>48</v>
      </c>
      <c r="K3" s="27">
        <f>'00_Supuestos'!$B$3</f>
        <v>3800</v>
      </c>
      <c r="L3" s="28">
        <v>46054</v>
      </c>
      <c r="M3" s="28">
        <v>46054</v>
      </c>
      <c r="N3" s="23" t="s">
        <v>39</v>
      </c>
      <c r="O3" s="7">
        <f t="shared" ref="O3:Z8" si="0">IF(AND($L3&lt;=O$2,$M3&gt;=O$2),$H3*$I3*IF($J3="USD",$K3,1),0)</f>
        <v>19000000</v>
      </c>
      <c r="P3" s="7">
        <f t="shared" si="0"/>
        <v>0</v>
      </c>
      <c r="Q3" s="7">
        <f t="shared" si="0"/>
        <v>0</v>
      </c>
      <c r="R3" s="7">
        <f t="shared" si="0"/>
        <v>0</v>
      </c>
      <c r="S3" s="7">
        <f t="shared" si="0"/>
        <v>0</v>
      </c>
      <c r="T3" s="7">
        <f t="shared" si="0"/>
        <v>0</v>
      </c>
      <c r="U3" s="7">
        <f t="shared" si="0"/>
        <v>0</v>
      </c>
      <c r="V3" s="7">
        <f t="shared" si="0"/>
        <v>0</v>
      </c>
      <c r="W3" s="7">
        <f t="shared" si="0"/>
        <v>0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16">
        <f t="shared" ref="AA3:AA13" si="1">SUM(O3:Z3)</f>
        <v>19000000</v>
      </c>
    </row>
    <row r="4" spans="1:27" ht="44.4" thickTop="1" thickBot="1" x14ac:dyDescent="0.35">
      <c r="A4" s="22" t="s">
        <v>41</v>
      </c>
      <c r="B4" s="22" t="s">
        <v>42</v>
      </c>
      <c r="C4" s="23" t="s">
        <v>43</v>
      </c>
      <c r="D4" s="22" t="s">
        <v>44</v>
      </c>
      <c r="E4" s="29" t="s">
        <v>104</v>
      </c>
      <c r="F4" s="6" t="s">
        <v>46</v>
      </c>
      <c r="G4" s="6" t="s">
        <v>47</v>
      </c>
      <c r="H4" s="24">
        <v>1</v>
      </c>
      <c r="I4" s="25">
        <v>300</v>
      </c>
      <c r="J4" s="26" t="s">
        <v>48</v>
      </c>
      <c r="K4" s="27">
        <f>'00_Supuestos'!$B$3</f>
        <v>3800</v>
      </c>
      <c r="L4" s="28">
        <v>46054</v>
      </c>
      <c r="M4" s="28">
        <v>46388</v>
      </c>
      <c r="N4" s="23" t="s">
        <v>49</v>
      </c>
      <c r="O4" s="7">
        <f t="shared" si="0"/>
        <v>1140000</v>
      </c>
      <c r="P4" s="7">
        <f t="shared" si="0"/>
        <v>1140000</v>
      </c>
      <c r="Q4" s="7">
        <f t="shared" si="0"/>
        <v>1140000</v>
      </c>
      <c r="R4" s="7">
        <f t="shared" si="0"/>
        <v>1140000</v>
      </c>
      <c r="S4" s="7">
        <f t="shared" si="0"/>
        <v>1140000</v>
      </c>
      <c r="T4" s="7">
        <f t="shared" si="0"/>
        <v>1140000</v>
      </c>
      <c r="U4" s="7">
        <f t="shared" si="0"/>
        <v>1140000</v>
      </c>
      <c r="V4" s="7">
        <f t="shared" si="0"/>
        <v>1140000</v>
      </c>
      <c r="W4" s="7">
        <f t="shared" si="0"/>
        <v>1140000</v>
      </c>
      <c r="X4" s="7">
        <f t="shared" si="0"/>
        <v>1140000</v>
      </c>
      <c r="Y4" s="7">
        <f t="shared" si="0"/>
        <v>1140000</v>
      </c>
      <c r="Z4" s="7">
        <f t="shared" si="0"/>
        <v>1140000</v>
      </c>
      <c r="AA4" s="16">
        <f t="shared" si="1"/>
        <v>13680000</v>
      </c>
    </row>
    <row r="5" spans="1:27" ht="29.4" thickTop="1" x14ac:dyDescent="0.3">
      <c r="A5" s="22" t="s">
        <v>41</v>
      </c>
      <c r="B5" s="22" t="s">
        <v>50</v>
      </c>
      <c r="C5" s="23" t="s">
        <v>51</v>
      </c>
      <c r="D5" s="22" t="s">
        <v>52</v>
      </c>
      <c r="E5" s="22" t="s">
        <v>45</v>
      </c>
      <c r="F5" s="6" t="s">
        <v>46</v>
      </c>
      <c r="G5" s="6" t="s">
        <v>47</v>
      </c>
      <c r="H5" s="24">
        <v>1</v>
      </c>
      <c r="I5" s="25">
        <v>100</v>
      </c>
      <c r="J5" s="26" t="s">
        <v>48</v>
      </c>
      <c r="K5" s="27">
        <f>'00_Supuestos'!$B$3</f>
        <v>3800</v>
      </c>
      <c r="L5" s="28">
        <v>46054</v>
      </c>
      <c r="M5" s="28">
        <v>46388</v>
      </c>
      <c r="N5" s="23" t="s">
        <v>53</v>
      </c>
      <c r="O5" s="7">
        <f t="shared" si="0"/>
        <v>380000</v>
      </c>
      <c r="P5" s="7">
        <f t="shared" si="0"/>
        <v>380000</v>
      </c>
      <c r="Q5" s="7">
        <f t="shared" si="0"/>
        <v>380000</v>
      </c>
      <c r="R5" s="7">
        <f t="shared" si="0"/>
        <v>380000</v>
      </c>
      <c r="S5" s="7">
        <f t="shared" si="0"/>
        <v>380000</v>
      </c>
      <c r="T5" s="7">
        <f t="shared" si="0"/>
        <v>380000</v>
      </c>
      <c r="U5" s="7">
        <f t="shared" si="0"/>
        <v>380000</v>
      </c>
      <c r="V5" s="7">
        <f t="shared" si="0"/>
        <v>380000</v>
      </c>
      <c r="W5" s="7">
        <f t="shared" si="0"/>
        <v>380000</v>
      </c>
      <c r="X5" s="7">
        <f t="shared" si="0"/>
        <v>380000</v>
      </c>
      <c r="Y5" s="7">
        <f t="shared" si="0"/>
        <v>380000</v>
      </c>
      <c r="Z5" s="7">
        <f t="shared" si="0"/>
        <v>380000</v>
      </c>
      <c r="AA5" s="16">
        <f t="shared" si="1"/>
        <v>4560000</v>
      </c>
    </row>
    <row r="6" spans="1:27" ht="43.8" thickBot="1" x14ac:dyDescent="0.35">
      <c r="A6" s="30" t="s">
        <v>56</v>
      </c>
      <c r="B6" s="30" t="s">
        <v>57</v>
      </c>
      <c r="C6" s="38" t="s">
        <v>112</v>
      </c>
      <c r="D6" s="30" t="s">
        <v>58</v>
      </c>
      <c r="E6" s="29" t="s">
        <v>105</v>
      </c>
      <c r="F6" s="13" t="s">
        <v>60</v>
      </c>
      <c r="G6" s="13" t="s">
        <v>47</v>
      </c>
      <c r="H6" s="32">
        <v>1</v>
      </c>
      <c r="I6" s="33">
        <v>1000</v>
      </c>
      <c r="J6" s="34" t="s">
        <v>48</v>
      </c>
      <c r="K6" s="35">
        <f>'00_Supuestos'!$B$3</f>
        <v>3800</v>
      </c>
      <c r="L6" s="36">
        <v>46054</v>
      </c>
      <c r="M6" s="36">
        <v>46388</v>
      </c>
      <c r="N6" s="31" t="s">
        <v>110</v>
      </c>
      <c r="O6" s="14">
        <f t="shared" si="0"/>
        <v>3800000</v>
      </c>
      <c r="P6" s="14">
        <f t="shared" si="0"/>
        <v>3800000</v>
      </c>
      <c r="Q6" s="14">
        <f t="shared" si="0"/>
        <v>3800000</v>
      </c>
      <c r="R6" s="14">
        <f t="shared" si="0"/>
        <v>3800000</v>
      </c>
      <c r="S6" s="14">
        <f t="shared" si="0"/>
        <v>3800000</v>
      </c>
      <c r="T6" s="14">
        <f t="shared" si="0"/>
        <v>3800000</v>
      </c>
      <c r="U6" s="14">
        <f t="shared" si="0"/>
        <v>3800000</v>
      </c>
      <c r="V6" s="14">
        <f t="shared" si="0"/>
        <v>3800000</v>
      </c>
      <c r="W6" s="14">
        <f t="shared" si="0"/>
        <v>3800000</v>
      </c>
      <c r="X6" s="14">
        <f t="shared" si="0"/>
        <v>3800000</v>
      </c>
      <c r="Y6" s="14">
        <f t="shared" si="0"/>
        <v>3800000</v>
      </c>
      <c r="Z6" s="14">
        <f t="shared" si="0"/>
        <v>3800000</v>
      </c>
      <c r="AA6" s="17">
        <f t="shared" si="1"/>
        <v>45600000</v>
      </c>
    </row>
    <row r="7" spans="1:27" ht="43.8" thickTop="1" x14ac:dyDescent="0.3">
      <c r="A7" s="30" t="s">
        <v>63</v>
      </c>
      <c r="B7" s="30" t="s">
        <v>64</v>
      </c>
      <c r="C7" s="31" t="s">
        <v>65</v>
      </c>
      <c r="D7" s="30" t="s">
        <v>66</v>
      </c>
      <c r="E7" s="30" t="s">
        <v>55</v>
      </c>
      <c r="F7" s="13" t="s">
        <v>46</v>
      </c>
      <c r="G7" s="13" t="s">
        <v>47</v>
      </c>
      <c r="H7" s="32">
        <v>1</v>
      </c>
      <c r="I7" s="33">
        <v>400</v>
      </c>
      <c r="J7" s="34" t="s">
        <v>48</v>
      </c>
      <c r="K7" s="35">
        <f>'00_Supuestos'!$B$3</f>
        <v>3800</v>
      </c>
      <c r="L7" s="36">
        <v>46113</v>
      </c>
      <c r="M7" s="36">
        <v>46388</v>
      </c>
      <c r="N7" s="31" t="s">
        <v>67</v>
      </c>
      <c r="O7" s="14">
        <f t="shared" si="0"/>
        <v>0</v>
      </c>
      <c r="P7" s="14">
        <f t="shared" si="0"/>
        <v>0</v>
      </c>
      <c r="Q7" s="14">
        <f t="shared" si="0"/>
        <v>1520000</v>
      </c>
      <c r="R7" s="14">
        <f t="shared" si="0"/>
        <v>1520000</v>
      </c>
      <c r="S7" s="14">
        <f t="shared" si="0"/>
        <v>1520000</v>
      </c>
      <c r="T7" s="14">
        <f t="shared" si="0"/>
        <v>1520000</v>
      </c>
      <c r="U7" s="14">
        <f t="shared" si="0"/>
        <v>1520000</v>
      </c>
      <c r="V7" s="14">
        <f t="shared" si="0"/>
        <v>1520000</v>
      </c>
      <c r="W7" s="14">
        <f t="shared" si="0"/>
        <v>1520000</v>
      </c>
      <c r="X7" s="14">
        <f t="shared" si="0"/>
        <v>1520000</v>
      </c>
      <c r="Y7" s="14">
        <f t="shared" si="0"/>
        <v>1520000</v>
      </c>
      <c r="Z7" s="14">
        <f t="shared" si="0"/>
        <v>1520000</v>
      </c>
      <c r="AA7" s="17">
        <f t="shared" si="1"/>
        <v>15200000</v>
      </c>
    </row>
    <row r="8" spans="1:27" s="51" customFormat="1" ht="43.2" x14ac:dyDescent="0.3">
      <c r="A8" s="40" t="s">
        <v>56</v>
      </c>
      <c r="B8" s="40" t="s">
        <v>68</v>
      </c>
      <c r="C8" s="41" t="s">
        <v>111</v>
      </c>
      <c r="D8" s="40" t="s">
        <v>69</v>
      </c>
      <c r="E8" s="40" t="s">
        <v>108</v>
      </c>
      <c r="F8" s="42" t="s">
        <v>46</v>
      </c>
      <c r="G8" s="42" t="s">
        <v>47</v>
      </c>
      <c r="H8" s="43">
        <v>1</v>
      </c>
      <c r="I8" s="44">
        <v>2000</v>
      </c>
      <c r="J8" s="45" t="s">
        <v>48</v>
      </c>
      <c r="K8" s="46">
        <f>'00_Supuestos'!$B$3</f>
        <v>3800</v>
      </c>
      <c r="L8" s="47">
        <v>46054</v>
      </c>
      <c r="M8" s="47">
        <v>46388</v>
      </c>
      <c r="N8" s="48" t="s">
        <v>70</v>
      </c>
      <c r="O8" s="49">
        <f t="shared" si="0"/>
        <v>7600000</v>
      </c>
      <c r="P8" s="49">
        <f t="shared" si="0"/>
        <v>7600000</v>
      </c>
      <c r="Q8" s="49">
        <f t="shared" si="0"/>
        <v>7600000</v>
      </c>
      <c r="R8" s="49">
        <f t="shared" si="0"/>
        <v>7600000</v>
      </c>
      <c r="S8" s="49">
        <f t="shared" si="0"/>
        <v>7600000</v>
      </c>
      <c r="T8" s="49">
        <f t="shared" si="0"/>
        <v>7600000</v>
      </c>
      <c r="U8" s="49">
        <f t="shared" si="0"/>
        <v>7600000</v>
      </c>
      <c r="V8" s="49">
        <f t="shared" si="0"/>
        <v>7600000</v>
      </c>
      <c r="W8" s="49">
        <f t="shared" si="0"/>
        <v>7600000</v>
      </c>
      <c r="X8" s="49">
        <f t="shared" si="0"/>
        <v>7600000</v>
      </c>
      <c r="Y8" s="49">
        <f t="shared" si="0"/>
        <v>7600000</v>
      </c>
      <c r="Z8" s="49">
        <f t="shared" si="0"/>
        <v>7600000</v>
      </c>
      <c r="AA8" s="50">
        <f t="shared" ref="AA8" si="2">SUM(O8:Z8)</f>
        <v>91200000</v>
      </c>
    </row>
    <row r="9" spans="1:27" s="62" customFormat="1" ht="61.8" customHeight="1" x14ac:dyDescent="0.3">
      <c r="A9" s="52" t="s">
        <v>34</v>
      </c>
      <c r="B9" s="52" t="s">
        <v>72</v>
      </c>
      <c r="C9" s="53" t="s">
        <v>73</v>
      </c>
      <c r="D9" s="52" t="s">
        <v>74</v>
      </c>
      <c r="E9" s="52" t="s">
        <v>75</v>
      </c>
      <c r="F9" s="54" t="s">
        <v>37</v>
      </c>
      <c r="G9" s="54" t="s">
        <v>40</v>
      </c>
      <c r="H9" s="55">
        <v>1</v>
      </c>
      <c r="I9" s="56">
        <v>1000</v>
      </c>
      <c r="J9" s="57" t="s">
        <v>48</v>
      </c>
      <c r="K9" s="58">
        <f>'00_Supuestos'!$B$3</f>
        <v>3800</v>
      </c>
      <c r="L9" s="59">
        <v>46054</v>
      </c>
      <c r="M9" s="59">
        <v>46082</v>
      </c>
      <c r="N9" s="53" t="s">
        <v>76</v>
      </c>
      <c r="O9" s="60">
        <f t="shared" ref="O9:Z11" si="3">IF(AND($L9&lt;=O$2,$M9&gt;=O$2),$H9*$I9*IF($J9="USD",$K9,1),0)</f>
        <v>3800000</v>
      </c>
      <c r="P9" s="60">
        <f t="shared" si="3"/>
        <v>3800000</v>
      </c>
      <c r="Q9" s="60">
        <f t="shared" si="3"/>
        <v>0</v>
      </c>
      <c r="R9" s="60">
        <f t="shared" si="3"/>
        <v>0</v>
      </c>
      <c r="S9" s="60">
        <f t="shared" si="3"/>
        <v>0</v>
      </c>
      <c r="T9" s="60">
        <f t="shared" si="3"/>
        <v>0</v>
      </c>
      <c r="U9" s="60">
        <f t="shared" si="3"/>
        <v>0</v>
      </c>
      <c r="V9" s="60">
        <f t="shared" si="3"/>
        <v>0</v>
      </c>
      <c r="W9" s="60">
        <f t="shared" si="3"/>
        <v>0</v>
      </c>
      <c r="X9" s="60">
        <f t="shared" si="3"/>
        <v>0</v>
      </c>
      <c r="Y9" s="60">
        <f t="shared" si="3"/>
        <v>0</v>
      </c>
      <c r="Z9" s="60">
        <f t="shared" si="3"/>
        <v>0</v>
      </c>
      <c r="AA9" s="61">
        <f t="shared" si="1"/>
        <v>7600000</v>
      </c>
    </row>
    <row r="10" spans="1:27" ht="28.8" x14ac:dyDescent="0.3">
      <c r="A10" s="30" t="s">
        <v>61</v>
      </c>
      <c r="B10" s="30" t="s">
        <v>77</v>
      </c>
      <c r="C10" s="31" t="s">
        <v>78</v>
      </c>
      <c r="D10" s="30" t="s">
        <v>79</v>
      </c>
      <c r="E10" s="30" t="s">
        <v>55</v>
      </c>
      <c r="F10" s="13" t="s">
        <v>60</v>
      </c>
      <c r="G10" s="13" t="s">
        <v>62</v>
      </c>
      <c r="H10" s="32">
        <v>1</v>
      </c>
      <c r="I10" s="33">
        <v>2500</v>
      </c>
      <c r="J10" s="34" t="s">
        <v>48</v>
      </c>
      <c r="K10" s="35">
        <f>'00_Supuestos'!$B$3</f>
        <v>3800</v>
      </c>
      <c r="L10" s="36">
        <v>46082</v>
      </c>
      <c r="M10" s="36">
        <v>46388</v>
      </c>
      <c r="N10" s="31" t="s">
        <v>80</v>
      </c>
      <c r="O10" s="14">
        <f t="shared" si="3"/>
        <v>0</v>
      </c>
      <c r="P10" s="14">
        <f t="shared" si="3"/>
        <v>9500000</v>
      </c>
      <c r="Q10" s="14">
        <f t="shared" si="3"/>
        <v>9500000</v>
      </c>
      <c r="R10" s="14">
        <f t="shared" si="3"/>
        <v>9500000</v>
      </c>
      <c r="S10" s="14">
        <f t="shared" si="3"/>
        <v>9500000</v>
      </c>
      <c r="T10" s="14">
        <f t="shared" si="3"/>
        <v>9500000</v>
      </c>
      <c r="U10" s="14">
        <f t="shared" si="3"/>
        <v>9500000</v>
      </c>
      <c r="V10" s="14">
        <f t="shared" si="3"/>
        <v>9500000</v>
      </c>
      <c r="W10" s="14">
        <f t="shared" si="3"/>
        <v>9500000</v>
      </c>
      <c r="X10" s="14">
        <f t="shared" si="3"/>
        <v>9500000</v>
      </c>
      <c r="Y10" s="14">
        <f t="shared" si="3"/>
        <v>9500000</v>
      </c>
      <c r="Z10" s="14">
        <f t="shared" si="3"/>
        <v>9500000</v>
      </c>
      <c r="AA10" s="17">
        <f t="shared" si="1"/>
        <v>104500000</v>
      </c>
    </row>
    <row r="11" spans="1:27" s="51" customFormat="1" ht="28.8" x14ac:dyDescent="0.3">
      <c r="A11" s="63" t="s">
        <v>61</v>
      </c>
      <c r="B11" s="63" t="s">
        <v>77</v>
      </c>
      <c r="C11" s="64" t="s">
        <v>109</v>
      </c>
      <c r="D11" s="63" t="s">
        <v>79</v>
      </c>
      <c r="E11" s="63" t="s">
        <v>55</v>
      </c>
      <c r="F11" s="65" t="s">
        <v>60</v>
      </c>
      <c r="G11" s="65" t="s">
        <v>62</v>
      </c>
      <c r="H11" s="66">
        <v>1</v>
      </c>
      <c r="I11" s="67">
        <f>1000*0</f>
        <v>0</v>
      </c>
      <c r="J11" s="68" t="s">
        <v>48</v>
      </c>
      <c r="K11" s="69">
        <f>'00_Supuestos'!$B$3</f>
        <v>3800</v>
      </c>
      <c r="L11" s="70">
        <v>46082</v>
      </c>
      <c r="M11" s="70">
        <v>46357</v>
      </c>
      <c r="N11" s="64" t="s">
        <v>107</v>
      </c>
      <c r="O11" s="71">
        <f t="shared" si="3"/>
        <v>0</v>
      </c>
      <c r="P11" s="71">
        <f t="shared" si="3"/>
        <v>0</v>
      </c>
      <c r="Q11" s="71"/>
      <c r="R11" s="71">
        <f t="shared" si="3"/>
        <v>0</v>
      </c>
      <c r="S11" s="71"/>
      <c r="T11" s="71"/>
      <c r="U11" s="71"/>
      <c r="V11" s="71">
        <f t="shared" si="3"/>
        <v>0</v>
      </c>
      <c r="W11" s="71"/>
      <c r="X11" s="71">
        <f t="shared" si="3"/>
        <v>0</v>
      </c>
      <c r="Y11" s="71"/>
      <c r="Z11" s="71">
        <f t="shared" si="3"/>
        <v>0</v>
      </c>
      <c r="AA11" s="72">
        <f t="shared" ref="AA11" si="4">SUM(O11:Z11)</f>
        <v>0</v>
      </c>
    </row>
    <row r="12" spans="1:27" s="83" customFormat="1" ht="28.8" x14ac:dyDescent="0.3">
      <c r="A12" s="73" t="s">
        <v>56</v>
      </c>
      <c r="B12" s="73" t="s">
        <v>81</v>
      </c>
      <c r="C12" s="74" t="s">
        <v>82</v>
      </c>
      <c r="D12" s="73" t="s">
        <v>83</v>
      </c>
      <c r="E12" s="73" t="s">
        <v>59</v>
      </c>
      <c r="F12" s="75" t="s">
        <v>37</v>
      </c>
      <c r="G12" s="75" t="s">
        <v>84</v>
      </c>
      <c r="H12" s="76">
        <v>1</v>
      </c>
      <c r="I12" s="77">
        <v>500</v>
      </c>
      <c r="J12" s="78" t="s">
        <v>48</v>
      </c>
      <c r="K12" s="79">
        <f>'00_Supuestos'!$B$3</f>
        <v>3800</v>
      </c>
      <c r="L12" s="80">
        <v>46054</v>
      </c>
      <c r="M12" s="80">
        <v>46388</v>
      </c>
      <c r="N12" s="74" t="s">
        <v>85</v>
      </c>
      <c r="O12" s="81">
        <f t="shared" ref="O12:Z13" si="5">IF(AND($L12&lt;=O$2,$M12&gt;=O$2),$H12*$I12*IF($J12="USD",$K12,1),0)</f>
        <v>1900000</v>
      </c>
      <c r="P12" s="81">
        <f t="shared" si="5"/>
        <v>1900000</v>
      </c>
      <c r="Q12" s="81">
        <f t="shared" si="5"/>
        <v>1900000</v>
      </c>
      <c r="R12" s="81">
        <f t="shared" si="5"/>
        <v>1900000</v>
      </c>
      <c r="S12" s="81">
        <f t="shared" si="5"/>
        <v>1900000</v>
      </c>
      <c r="T12" s="81">
        <f t="shared" si="5"/>
        <v>1900000</v>
      </c>
      <c r="U12" s="81">
        <f t="shared" si="5"/>
        <v>1900000</v>
      </c>
      <c r="V12" s="81">
        <f t="shared" si="5"/>
        <v>1900000</v>
      </c>
      <c r="W12" s="81">
        <f t="shared" si="5"/>
        <v>1900000</v>
      </c>
      <c r="X12" s="81">
        <f t="shared" si="5"/>
        <v>1900000</v>
      </c>
      <c r="Y12" s="81">
        <f t="shared" si="5"/>
        <v>1900000</v>
      </c>
      <c r="Z12" s="81">
        <f t="shared" si="5"/>
        <v>1900000</v>
      </c>
      <c r="AA12" s="82">
        <f t="shared" si="1"/>
        <v>22800000</v>
      </c>
    </row>
    <row r="13" spans="1:27" ht="46.8" customHeight="1" x14ac:dyDescent="0.3">
      <c r="A13" s="30" t="s">
        <v>88</v>
      </c>
      <c r="B13" s="30" t="s">
        <v>89</v>
      </c>
      <c r="C13" s="31" t="s">
        <v>106</v>
      </c>
      <c r="D13" s="30" t="s">
        <v>90</v>
      </c>
      <c r="E13" s="30" t="s">
        <v>91</v>
      </c>
      <c r="F13" s="13" t="s">
        <v>46</v>
      </c>
      <c r="G13" s="13" t="s">
        <v>47</v>
      </c>
      <c r="H13" s="32">
        <v>1</v>
      </c>
      <c r="I13" s="33">
        <v>4000</v>
      </c>
      <c r="J13" s="34" t="s">
        <v>48</v>
      </c>
      <c r="K13" s="35">
        <f>'00_Supuestos'!$B$3</f>
        <v>3800</v>
      </c>
      <c r="L13" s="36">
        <v>46054</v>
      </c>
      <c r="M13" s="36">
        <v>46388</v>
      </c>
      <c r="N13" s="31" t="s">
        <v>92</v>
      </c>
      <c r="O13" s="14">
        <f t="shared" si="5"/>
        <v>15200000</v>
      </c>
      <c r="P13" s="14">
        <f t="shared" si="5"/>
        <v>15200000</v>
      </c>
      <c r="Q13" s="14">
        <f t="shared" si="5"/>
        <v>15200000</v>
      </c>
      <c r="R13" s="14">
        <f t="shared" si="5"/>
        <v>15200000</v>
      </c>
      <c r="S13" s="14">
        <f t="shared" si="5"/>
        <v>15200000</v>
      </c>
      <c r="T13" s="14">
        <f t="shared" si="5"/>
        <v>15200000</v>
      </c>
      <c r="U13" s="14">
        <f t="shared" si="5"/>
        <v>15200000</v>
      </c>
      <c r="V13" s="14">
        <f t="shared" si="5"/>
        <v>15200000</v>
      </c>
      <c r="W13" s="14">
        <f t="shared" si="5"/>
        <v>15200000</v>
      </c>
      <c r="X13" s="14">
        <f t="shared" si="5"/>
        <v>15200000</v>
      </c>
      <c r="Y13" s="14">
        <f t="shared" si="5"/>
        <v>15200000</v>
      </c>
      <c r="Z13" s="14">
        <f t="shared" si="5"/>
        <v>15200000</v>
      </c>
      <c r="AA13" s="17">
        <f t="shared" si="1"/>
        <v>182400000</v>
      </c>
    </row>
    <row r="15" spans="1:27" x14ac:dyDescent="0.3">
      <c r="AA15" s="37">
        <f>SUM(AA3:AA14)</f>
        <v>506540000</v>
      </c>
    </row>
    <row r="16" spans="1:27" x14ac:dyDescent="0.3">
      <c r="AA16" s="39">
        <f>+AA15/3800</f>
        <v>133300</v>
      </c>
    </row>
  </sheetData>
  <autoFilter ref="A1:AA1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N11" sqref="N11"/>
    </sheetView>
  </sheetViews>
  <sheetFormatPr baseColWidth="10" defaultColWidth="8.77734375" defaultRowHeight="14.4" x14ac:dyDescent="0.3"/>
  <cols>
    <col min="1" max="1" width="25" customWidth="1"/>
    <col min="2" max="14" width="11" customWidth="1"/>
  </cols>
  <sheetData>
    <row r="1" spans="1:14" ht="18" x14ac:dyDescent="0.35">
      <c r="A1" s="1" t="s">
        <v>93</v>
      </c>
    </row>
    <row r="3" spans="1:14" x14ac:dyDescent="0.3">
      <c r="A3" s="8" t="s">
        <v>7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94</v>
      </c>
    </row>
    <row r="4" spans="1:14" x14ac:dyDescent="0.3">
      <c r="A4" s="5" t="s">
        <v>63</v>
      </c>
      <c r="B4" s="9">
        <f>SUMIF('01_Presupuesto'!$A$3:$A$13,$A4,'01_Presupuesto'!$O$3:$O$13)</f>
        <v>0</v>
      </c>
      <c r="C4" s="9">
        <f>SUMIF('01_Presupuesto'!$A$3:$A$13,$A4,'01_Presupuesto'!$P$3:$P$13)</f>
        <v>0</v>
      </c>
      <c r="D4" s="9">
        <f>SUMIF('01_Presupuesto'!$A$3:$A$13,$A4,'01_Presupuesto'!$Q$3:$Q$13)</f>
        <v>1520000</v>
      </c>
      <c r="E4" s="9">
        <f>SUMIF('01_Presupuesto'!$A$3:$A$13,$A4,'01_Presupuesto'!$R$3:$R$13)</f>
        <v>1520000</v>
      </c>
      <c r="F4" s="9">
        <f>SUMIF('01_Presupuesto'!$A$3:$A$13,$A4,'01_Presupuesto'!$S$3:$S$13)</f>
        <v>1520000</v>
      </c>
      <c r="G4" s="9">
        <f>SUMIF('01_Presupuesto'!$A$3:$A$13,$A4,'01_Presupuesto'!$T$3:$T$13)</f>
        <v>1520000</v>
      </c>
      <c r="H4" s="9">
        <f>SUMIF('01_Presupuesto'!$A$3:$A$13,$A4,'01_Presupuesto'!$U$3:$U$13)</f>
        <v>1520000</v>
      </c>
      <c r="I4" s="9">
        <f>SUMIF('01_Presupuesto'!$A$3:$A$13,$A4,'01_Presupuesto'!$V$3:$V$13)</f>
        <v>1520000</v>
      </c>
      <c r="J4" s="9">
        <f>SUMIF('01_Presupuesto'!$A$3:$A$13,$A4,'01_Presupuesto'!$W$3:$W$13)</f>
        <v>1520000</v>
      </c>
      <c r="K4" s="9">
        <f>SUMIF('01_Presupuesto'!$A$3:$A$13,$A4,'01_Presupuesto'!$X$3:$X$13)</f>
        <v>1520000</v>
      </c>
      <c r="L4" s="9">
        <f>SUMIF('01_Presupuesto'!$A$3:$A$13,$A4,'01_Presupuesto'!$Y$3:$Y$13)</f>
        <v>1520000</v>
      </c>
      <c r="M4" s="9">
        <f>SUMIF('01_Presupuesto'!$A$3:$A$13,$A4,'01_Presupuesto'!$Z$3:$Z$13)</f>
        <v>1520000</v>
      </c>
      <c r="N4" s="9">
        <f t="shared" ref="N4:N14" si="0">SUM(B4:M4)</f>
        <v>15200000</v>
      </c>
    </row>
    <row r="5" spans="1:14" x14ac:dyDescent="0.3">
      <c r="A5" s="5" t="s">
        <v>34</v>
      </c>
      <c r="B5" s="9">
        <f>SUMIF('01_Presupuesto'!$A$3:$A$13,$A5,'01_Presupuesto'!$O$3:$O$13)</f>
        <v>22800000</v>
      </c>
      <c r="C5" s="9">
        <f>SUMIF('01_Presupuesto'!$A$3:$A$13,$A5,'01_Presupuesto'!$P$3:$P$13)</f>
        <v>3800000</v>
      </c>
      <c r="D5" s="9">
        <f>SUMIF('01_Presupuesto'!$A$3:$A$13,$A5,'01_Presupuesto'!$Q$3:$Q$13)</f>
        <v>0</v>
      </c>
      <c r="E5" s="9">
        <f>SUMIF('01_Presupuesto'!$A$3:$A$13,$A5,'01_Presupuesto'!$R$3:$R$13)</f>
        <v>0</v>
      </c>
      <c r="F5" s="9">
        <f>SUMIF('01_Presupuesto'!$A$3:$A$13,$A5,'01_Presupuesto'!$S$3:$S$13)</f>
        <v>0</v>
      </c>
      <c r="G5" s="9">
        <f>SUMIF('01_Presupuesto'!$A$3:$A$13,$A5,'01_Presupuesto'!$T$3:$T$13)</f>
        <v>0</v>
      </c>
      <c r="H5" s="9">
        <f>SUMIF('01_Presupuesto'!$A$3:$A$13,$A5,'01_Presupuesto'!$U$3:$U$13)</f>
        <v>0</v>
      </c>
      <c r="I5" s="9">
        <f>SUMIF('01_Presupuesto'!$A$3:$A$13,$A5,'01_Presupuesto'!$V$3:$V$13)</f>
        <v>0</v>
      </c>
      <c r="J5" s="9">
        <f>SUMIF('01_Presupuesto'!$A$3:$A$13,$A5,'01_Presupuesto'!$W$3:$W$13)</f>
        <v>0</v>
      </c>
      <c r="K5" s="9">
        <f>SUMIF('01_Presupuesto'!$A$3:$A$13,$A5,'01_Presupuesto'!$X$3:$X$13)</f>
        <v>0</v>
      </c>
      <c r="L5" s="9">
        <f>SUMIF('01_Presupuesto'!$A$3:$A$13,$A5,'01_Presupuesto'!$Y$3:$Y$13)</f>
        <v>0</v>
      </c>
      <c r="M5" s="9">
        <f>SUMIF('01_Presupuesto'!$A$3:$A$13,$A5,'01_Presupuesto'!$Z$3:$Z$13)</f>
        <v>0</v>
      </c>
      <c r="N5" s="9">
        <f t="shared" si="0"/>
        <v>26600000</v>
      </c>
    </row>
    <row r="6" spans="1:14" x14ac:dyDescent="0.3">
      <c r="A6" s="5" t="s">
        <v>61</v>
      </c>
      <c r="B6" s="9">
        <f>SUMIF('01_Presupuesto'!$A$3:$A$13,$A6,'01_Presupuesto'!$O$3:$O$13)</f>
        <v>0</v>
      </c>
      <c r="C6" s="9">
        <f>SUMIF('01_Presupuesto'!$A$3:$A$13,$A6,'01_Presupuesto'!$P$3:$P$13)</f>
        <v>9500000</v>
      </c>
      <c r="D6" s="9">
        <f>SUMIF('01_Presupuesto'!$A$3:$A$13,$A6,'01_Presupuesto'!$Q$3:$Q$13)</f>
        <v>9500000</v>
      </c>
      <c r="E6" s="9">
        <f>SUMIF('01_Presupuesto'!$A$3:$A$13,$A6,'01_Presupuesto'!$R$3:$R$13)</f>
        <v>9500000</v>
      </c>
      <c r="F6" s="9">
        <f>SUMIF('01_Presupuesto'!$A$3:$A$13,$A6,'01_Presupuesto'!$S$3:$S$13)</f>
        <v>9500000</v>
      </c>
      <c r="G6" s="9">
        <f>SUMIF('01_Presupuesto'!$A$3:$A$13,$A6,'01_Presupuesto'!$T$3:$T$13)</f>
        <v>9500000</v>
      </c>
      <c r="H6" s="9">
        <f>SUMIF('01_Presupuesto'!$A$3:$A$13,$A6,'01_Presupuesto'!$U$3:$U$13)</f>
        <v>9500000</v>
      </c>
      <c r="I6" s="9">
        <f>SUMIF('01_Presupuesto'!$A$3:$A$13,$A6,'01_Presupuesto'!$V$3:$V$13)</f>
        <v>9500000</v>
      </c>
      <c r="J6" s="9">
        <f>SUMIF('01_Presupuesto'!$A$3:$A$13,$A6,'01_Presupuesto'!$W$3:$W$13)</f>
        <v>9500000</v>
      </c>
      <c r="K6" s="9">
        <f>SUMIF('01_Presupuesto'!$A$3:$A$13,$A6,'01_Presupuesto'!$X$3:$X$13)</f>
        <v>9500000</v>
      </c>
      <c r="L6" s="9">
        <f>SUMIF('01_Presupuesto'!$A$3:$A$13,$A6,'01_Presupuesto'!$Y$3:$Y$13)</f>
        <v>9500000</v>
      </c>
      <c r="M6" s="9">
        <f>SUMIF('01_Presupuesto'!$A$3:$A$13,$A6,'01_Presupuesto'!$Z$3:$Z$13)</f>
        <v>9500000</v>
      </c>
      <c r="N6" s="9">
        <f>SUM(B6:M6)</f>
        <v>104500000</v>
      </c>
    </row>
    <row r="7" spans="1:14" x14ac:dyDescent="0.3">
      <c r="A7" s="5" t="s">
        <v>87</v>
      </c>
      <c r="B7" s="9">
        <f>SUMIF('01_Presupuesto'!$A$3:$A$13,$A7,'01_Presupuesto'!$O$3:$O$13)</f>
        <v>0</v>
      </c>
      <c r="C7" s="9">
        <f>SUMIF('01_Presupuesto'!$A$3:$A$13,$A7,'01_Presupuesto'!$P$3:$P$13)</f>
        <v>0</v>
      </c>
      <c r="D7" s="9">
        <f>SUMIF('01_Presupuesto'!$A$3:$A$13,$A7,'01_Presupuesto'!$Q$3:$Q$13)</f>
        <v>0</v>
      </c>
      <c r="E7" s="9">
        <f>SUMIF('01_Presupuesto'!$A$3:$A$13,$A7,'01_Presupuesto'!$R$3:$R$13)</f>
        <v>0</v>
      </c>
      <c r="F7" s="9">
        <f>SUMIF('01_Presupuesto'!$A$3:$A$13,$A7,'01_Presupuesto'!$S$3:$S$13)</f>
        <v>0</v>
      </c>
      <c r="G7" s="9">
        <f>SUMIF('01_Presupuesto'!$A$3:$A$13,$A7,'01_Presupuesto'!$T$3:$T$13)</f>
        <v>0</v>
      </c>
      <c r="H7" s="9">
        <f>SUMIF('01_Presupuesto'!$A$3:$A$13,$A7,'01_Presupuesto'!$U$3:$U$13)</f>
        <v>0</v>
      </c>
      <c r="I7" s="9">
        <f>SUMIF('01_Presupuesto'!$A$3:$A$13,$A7,'01_Presupuesto'!$V$3:$V$13)</f>
        <v>0</v>
      </c>
      <c r="J7" s="9">
        <f>SUMIF('01_Presupuesto'!$A$3:$A$13,$A7,'01_Presupuesto'!$W$3:$W$13)</f>
        <v>0</v>
      </c>
      <c r="K7" s="9">
        <f>SUMIF('01_Presupuesto'!$A$3:$A$13,$A7,'01_Presupuesto'!$X$3:$X$13)</f>
        <v>0</v>
      </c>
      <c r="L7" s="9">
        <f>SUMIF('01_Presupuesto'!$A$3:$A$13,$A7,'01_Presupuesto'!$Y$3:$Y$13)</f>
        <v>0</v>
      </c>
      <c r="M7" s="9">
        <f>SUMIF('01_Presupuesto'!$A$3:$A$13,$A7,'01_Presupuesto'!$Z$3:$Z$13)</f>
        <v>0</v>
      </c>
      <c r="N7" s="9">
        <f t="shared" si="0"/>
        <v>0</v>
      </c>
    </row>
    <row r="8" spans="1:14" x14ac:dyDescent="0.3">
      <c r="A8" s="5" t="s">
        <v>54</v>
      </c>
      <c r="B8" s="9">
        <f>SUMIF('01_Presupuesto'!$A$3:$A$13,$A8,'01_Presupuesto'!$O$3:$O$13)</f>
        <v>0</v>
      </c>
      <c r="C8" s="9">
        <f>SUMIF('01_Presupuesto'!$A$3:$A$13,$A8,'01_Presupuesto'!$P$3:$P$13)</f>
        <v>0</v>
      </c>
      <c r="D8" s="9">
        <f>SUMIF('01_Presupuesto'!$A$3:$A$13,$A8,'01_Presupuesto'!$Q$3:$Q$13)</f>
        <v>0</v>
      </c>
      <c r="E8" s="9">
        <f>SUMIF('01_Presupuesto'!$A$3:$A$13,$A8,'01_Presupuesto'!$R$3:$R$13)</f>
        <v>0</v>
      </c>
      <c r="F8" s="9">
        <f>SUMIF('01_Presupuesto'!$A$3:$A$13,$A8,'01_Presupuesto'!$S$3:$S$13)</f>
        <v>0</v>
      </c>
      <c r="G8" s="9">
        <f>SUMIF('01_Presupuesto'!$A$3:$A$13,$A8,'01_Presupuesto'!$T$3:$T$13)</f>
        <v>0</v>
      </c>
      <c r="H8" s="9">
        <f>SUMIF('01_Presupuesto'!$A$3:$A$13,$A8,'01_Presupuesto'!$U$3:$U$13)</f>
        <v>0</v>
      </c>
      <c r="I8" s="9">
        <f>SUMIF('01_Presupuesto'!$A$3:$A$13,$A8,'01_Presupuesto'!$V$3:$V$13)</f>
        <v>0</v>
      </c>
      <c r="J8" s="9">
        <f>SUMIF('01_Presupuesto'!$A$3:$A$13,$A8,'01_Presupuesto'!$W$3:$W$13)</f>
        <v>0</v>
      </c>
      <c r="K8" s="9">
        <f>SUMIF('01_Presupuesto'!$A$3:$A$13,$A8,'01_Presupuesto'!$X$3:$X$13)</f>
        <v>0</v>
      </c>
      <c r="L8" s="9">
        <f>SUMIF('01_Presupuesto'!$A$3:$A$13,$A8,'01_Presupuesto'!$Y$3:$Y$13)</f>
        <v>0</v>
      </c>
      <c r="M8" s="9">
        <f>SUMIF('01_Presupuesto'!$A$3:$A$13,$A8,'01_Presupuesto'!$Z$3:$Z$13)</f>
        <v>0</v>
      </c>
      <c r="N8" s="9">
        <f t="shared" si="0"/>
        <v>0</v>
      </c>
    </row>
    <row r="9" spans="1:14" x14ac:dyDescent="0.3">
      <c r="A9" s="5" t="s">
        <v>71</v>
      </c>
      <c r="B9" s="9">
        <f>SUMIF('01_Presupuesto'!$A$3:$A$13,$A9,'01_Presupuesto'!$O$3:$O$13)</f>
        <v>0</v>
      </c>
      <c r="C9" s="9">
        <f>SUMIF('01_Presupuesto'!$A$3:$A$13,$A9,'01_Presupuesto'!$P$3:$P$13)</f>
        <v>0</v>
      </c>
      <c r="D9" s="9">
        <f>SUMIF('01_Presupuesto'!$A$3:$A$13,$A9,'01_Presupuesto'!$Q$3:$Q$13)</f>
        <v>0</v>
      </c>
      <c r="E9" s="9">
        <f>SUMIF('01_Presupuesto'!$A$3:$A$13,$A9,'01_Presupuesto'!$R$3:$R$13)</f>
        <v>0</v>
      </c>
      <c r="F9" s="9">
        <f>SUMIF('01_Presupuesto'!$A$3:$A$13,$A9,'01_Presupuesto'!$S$3:$S$13)</f>
        <v>0</v>
      </c>
      <c r="G9" s="9">
        <f>SUMIF('01_Presupuesto'!$A$3:$A$13,$A9,'01_Presupuesto'!$T$3:$T$13)</f>
        <v>0</v>
      </c>
      <c r="H9" s="9">
        <f>SUMIF('01_Presupuesto'!$A$3:$A$13,$A9,'01_Presupuesto'!$U$3:$U$13)</f>
        <v>0</v>
      </c>
      <c r="I9" s="9">
        <f>SUMIF('01_Presupuesto'!$A$3:$A$13,$A9,'01_Presupuesto'!$V$3:$V$13)</f>
        <v>0</v>
      </c>
      <c r="J9" s="9">
        <f>SUMIF('01_Presupuesto'!$A$3:$A$13,$A9,'01_Presupuesto'!$W$3:$W$13)</f>
        <v>0</v>
      </c>
      <c r="K9" s="9">
        <f>SUMIF('01_Presupuesto'!$A$3:$A$13,$A9,'01_Presupuesto'!$X$3:$X$13)</f>
        <v>0</v>
      </c>
      <c r="L9" s="9">
        <f>SUMIF('01_Presupuesto'!$A$3:$A$13,$A9,'01_Presupuesto'!$Y$3:$Y$13)</f>
        <v>0</v>
      </c>
      <c r="M9" s="9">
        <f>SUMIF('01_Presupuesto'!$A$3:$A$13,$A9,'01_Presupuesto'!$Z$3:$Z$13)</f>
        <v>0</v>
      </c>
      <c r="N9" s="9">
        <f t="shared" si="0"/>
        <v>0</v>
      </c>
    </row>
    <row r="10" spans="1:14" x14ac:dyDescent="0.3">
      <c r="A10" s="5" t="s">
        <v>56</v>
      </c>
      <c r="B10" s="9">
        <f>SUMIF('01_Presupuesto'!$A$3:$A$13,$A10,'01_Presupuesto'!$O$3:$O$13)</f>
        <v>13300000</v>
      </c>
      <c r="C10" s="9">
        <f>SUMIF('01_Presupuesto'!$A$3:$A$13,$A10,'01_Presupuesto'!$P$3:$P$13)</f>
        <v>13300000</v>
      </c>
      <c r="D10" s="9">
        <f>SUMIF('01_Presupuesto'!$A$3:$A$13,$A10,'01_Presupuesto'!$Q$3:$Q$13)</f>
        <v>13300000</v>
      </c>
      <c r="E10" s="9">
        <f>SUMIF('01_Presupuesto'!$A$3:$A$13,$A10,'01_Presupuesto'!$R$3:$R$13)</f>
        <v>13300000</v>
      </c>
      <c r="F10" s="9">
        <f>SUMIF('01_Presupuesto'!$A$3:$A$13,$A10,'01_Presupuesto'!$S$3:$S$13)</f>
        <v>13300000</v>
      </c>
      <c r="G10" s="9">
        <f>SUMIF('01_Presupuesto'!$A$3:$A$13,$A10,'01_Presupuesto'!$T$3:$T$13)</f>
        <v>13300000</v>
      </c>
      <c r="H10" s="9">
        <f>SUMIF('01_Presupuesto'!$A$3:$A$13,$A10,'01_Presupuesto'!$U$3:$U$13)</f>
        <v>13300000</v>
      </c>
      <c r="I10" s="9">
        <f>SUMIF('01_Presupuesto'!$A$3:$A$13,$A10,'01_Presupuesto'!$V$3:$V$13)</f>
        <v>13300000</v>
      </c>
      <c r="J10" s="9">
        <f>SUMIF('01_Presupuesto'!$A$3:$A$13,$A10,'01_Presupuesto'!$W$3:$W$13)</f>
        <v>13300000</v>
      </c>
      <c r="K10" s="9">
        <f>SUMIF('01_Presupuesto'!$A$3:$A$13,$A10,'01_Presupuesto'!$X$3:$X$13)</f>
        <v>13300000</v>
      </c>
      <c r="L10" s="9">
        <f>SUMIF('01_Presupuesto'!$A$3:$A$13,$A10,'01_Presupuesto'!$Y$3:$Y$13)</f>
        <v>13300000</v>
      </c>
      <c r="M10" s="9">
        <f>SUMIF('01_Presupuesto'!$A$3:$A$13,$A10,'01_Presupuesto'!$Z$3:$Z$13)</f>
        <v>13300000</v>
      </c>
      <c r="N10" s="9">
        <f t="shared" si="0"/>
        <v>159600000</v>
      </c>
    </row>
    <row r="11" spans="1:14" x14ac:dyDescent="0.3">
      <c r="A11" s="5" t="s">
        <v>88</v>
      </c>
      <c r="B11" s="9">
        <f>SUMIF('01_Presupuesto'!$A$3:$A$13,$A11,'01_Presupuesto'!$O$3:$O$13)</f>
        <v>15200000</v>
      </c>
      <c r="C11" s="9">
        <f>SUMIF('01_Presupuesto'!$A$3:$A$13,$A11,'01_Presupuesto'!$P$3:$P$13)</f>
        <v>15200000</v>
      </c>
      <c r="D11" s="9">
        <f>SUMIF('01_Presupuesto'!$A$3:$A$13,$A11,'01_Presupuesto'!$Q$3:$Q$13)</f>
        <v>15200000</v>
      </c>
      <c r="E11" s="9">
        <f>SUMIF('01_Presupuesto'!$A$3:$A$13,$A11,'01_Presupuesto'!$R$3:$R$13)</f>
        <v>15200000</v>
      </c>
      <c r="F11" s="9">
        <f>SUMIF('01_Presupuesto'!$A$3:$A$13,$A11,'01_Presupuesto'!$S$3:$S$13)</f>
        <v>15200000</v>
      </c>
      <c r="G11" s="9">
        <f>SUMIF('01_Presupuesto'!$A$3:$A$13,$A11,'01_Presupuesto'!$T$3:$T$13)</f>
        <v>15200000</v>
      </c>
      <c r="H11" s="9">
        <f>SUMIF('01_Presupuesto'!$A$3:$A$13,$A11,'01_Presupuesto'!$U$3:$U$13)</f>
        <v>15200000</v>
      </c>
      <c r="I11" s="9">
        <f>SUMIF('01_Presupuesto'!$A$3:$A$13,$A11,'01_Presupuesto'!$V$3:$V$13)</f>
        <v>15200000</v>
      </c>
      <c r="J11" s="9">
        <f>SUMIF('01_Presupuesto'!$A$3:$A$13,$A11,'01_Presupuesto'!$W$3:$W$13)</f>
        <v>15200000</v>
      </c>
      <c r="K11" s="9">
        <f>SUMIF('01_Presupuesto'!$A$3:$A$13,$A11,'01_Presupuesto'!$X$3:$X$13)</f>
        <v>15200000</v>
      </c>
      <c r="L11" s="9">
        <f>SUMIF('01_Presupuesto'!$A$3:$A$13,$A11,'01_Presupuesto'!$Y$3:$Y$13)</f>
        <v>15200000</v>
      </c>
      <c r="M11" s="9">
        <f>SUMIF('01_Presupuesto'!$A$3:$A$13,$A11,'01_Presupuesto'!$Z$3:$Z$13)</f>
        <v>15200000</v>
      </c>
      <c r="N11" s="9">
        <f t="shared" si="0"/>
        <v>182400000</v>
      </c>
    </row>
    <row r="12" spans="1:14" x14ac:dyDescent="0.3">
      <c r="A12" s="5" t="s">
        <v>86</v>
      </c>
      <c r="B12" s="9">
        <f>SUMIF('01_Presupuesto'!$A$3:$A$13,$A12,'01_Presupuesto'!$O$3:$O$13)</f>
        <v>0</v>
      </c>
      <c r="C12" s="9">
        <f>SUMIF('01_Presupuesto'!$A$3:$A$13,$A12,'01_Presupuesto'!$P$3:$P$13)</f>
        <v>0</v>
      </c>
      <c r="D12" s="9">
        <f>SUMIF('01_Presupuesto'!$A$3:$A$13,$A12,'01_Presupuesto'!$Q$3:$Q$13)</f>
        <v>0</v>
      </c>
      <c r="E12" s="9">
        <f>SUMIF('01_Presupuesto'!$A$3:$A$13,$A12,'01_Presupuesto'!$R$3:$R$13)</f>
        <v>0</v>
      </c>
      <c r="F12" s="9">
        <f>SUMIF('01_Presupuesto'!$A$3:$A$13,$A12,'01_Presupuesto'!$S$3:$S$13)</f>
        <v>0</v>
      </c>
      <c r="G12" s="9">
        <f>SUMIF('01_Presupuesto'!$A$3:$A$13,$A12,'01_Presupuesto'!$T$3:$T$13)</f>
        <v>0</v>
      </c>
      <c r="H12" s="9">
        <f>SUMIF('01_Presupuesto'!$A$3:$A$13,$A12,'01_Presupuesto'!$U$3:$U$13)</f>
        <v>0</v>
      </c>
      <c r="I12" s="9">
        <f>SUMIF('01_Presupuesto'!$A$3:$A$13,$A12,'01_Presupuesto'!$V$3:$V$13)</f>
        <v>0</v>
      </c>
      <c r="J12" s="9">
        <f>SUMIF('01_Presupuesto'!$A$3:$A$13,$A12,'01_Presupuesto'!$W$3:$W$13)</f>
        <v>0</v>
      </c>
      <c r="K12" s="9">
        <f>SUMIF('01_Presupuesto'!$A$3:$A$13,$A12,'01_Presupuesto'!$X$3:$X$13)</f>
        <v>0</v>
      </c>
      <c r="L12" s="9">
        <f>SUMIF('01_Presupuesto'!$A$3:$A$13,$A12,'01_Presupuesto'!$Y$3:$Y$13)</f>
        <v>0</v>
      </c>
      <c r="M12" s="9">
        <f>SUMIF('01_Presupuesto'!$A$3:$A$13,$A12,'01_Presupuesto'!$Z$3:$Z$13)</f>
        <v>0</v>
      </c>
      <c r="N12" s="9">
        <f t="shared" si="0"/>
        <v>0</v>
      </c>
    </row>
    <row r="13" spans="1:14" x14ac:dyDescent="0.3">
      <c r="A13" s="5" t="s">
        <v>41</v>
      </c>
      <c r="B13" s="9">
        <f>SUMIF('01_Presupuesto'!$A$3:$A$13,$A13,'01_Presupuesto'!$O$3:$O$13)</f>
        <v>1520000</v>
      </c>
      <c r="C13" s="9">
        <f>SUMIF('01_Presupuesto'!$A$3:$A$13,$A13,'01_Presupuesto'!$P$3:$P$13)</f>
        <v>1520000</v>
      </c>
      <c r="D13" s="9">
        <f>SUMIF('01_Presupuesto'!$A$3:$A$13,$A13,'01_Presupuesto'!$Q$3:$Q$13)</f>
        <v>1520000</v>
      </c>
      <c r="E13" s="9">
        <f>SUMIF('01_Presupuesto'!$A$3:$A$13,$A13,'01_Presupuesto'!$R$3:$R$13)</f>
        <v>1520000</v>
      </c>
      <c r="F13" s="9">
        <f>SUMIF('01_Presupuesto'!$A$3:$A$13,$A13,'01_Presupuesto'!$S$3:$S$13)</f>
        <v>1520000</v>
      </c>
      <c r="G13" s="9">
        <f>SUMIF('01_Presupuesto'!$A$3:$A$13,$A13,'01_Presupuesto'!$T$3:$T$13)</f>
        <v>1520000</v>
      </c>
      <c r="H13" s="9">
        <f>SUMIF('01_Presupuesto'!$A$3:$A$13,$A13,'01_Presupuesto'!$U$3:$U$13)</f>
        <v>1520000</v>
      </c>
      <c r="I13" s="9">
        <f>SUMIF('01_Presupuesto'!$A$3:$A$13,$A13,'01_Presupuesto'!$V$3:$V$13)</f>
        <v>1520000</v>
      </c>
      <c r="J13" s="9">
        <f>SUMIF('01_Presupuesto'!$A$3:$A$13,$A13,'01_Presupuesto'!$W$3:$W$13)</f>
        <v>1520000</v>
      </c>
      <c r="K13" s="9">
        <f>SUMIF('01_Presupuesto'!$A$3:$A$13,$A13,'01_Presupuesto'!$X$3:$X$13)</f>
        <v>1520000</v>
      </c>
      <c r="L13" s="9">
        <f>SUMIF('01_Presupuesto'!$A$3:$A$13,$A13,'01_Presupuesto'!$Y$3:$Y$13)</f>
        <v>1520000</v>
      </c>
      <c r="M13" s="9">
        <f>SUMIF('01_Presupuesto'!$A$3:$A$13,$A13,'01_Presupuesto'!$Z$3:$Z$13)</f>
        <v>1520000</v>
      </c>
      <c r="N13" s="9">
        <f t="shared" si="0"/>
        <v>18240000</v>
      </c>
    </row>
    <row r="14" spans="1:14" x14ac:dyDescent="0.3">
      <c r="A14" s="10" t="s">
        <v>95</v>
      </c>
      <c r="B14" s="11">
        <f t="shared" ref="B14:M14" si="1">SUM(B4:B13)</f>
        <v>52820000</v>
      </c>
      <c r="C14" s="11">
        <f t="shared" si="1"/>
        <v>43320000</v>
      </c>
      <c r="D14" s="11">
        <f t="shared" si="1"/>
        <v>41040000</v>
      </c>
      <c r="E14" s="11">
        <f t="shared" si="1"/>
        <v>41040000</v>
      </c>
      <c r="F14" s="11">
        <f t="shared" si="1"/>
        <v>41040000</v>
      </c>
      <c r="G14" s="11">
        <f t="shared" si="1"/>
        <v>41040000</v>
      </c>
      <c r="H14" s="11">
        <f t="shared" si="1"/>
        <v>41040000</v>
      </c>
      <c r="I14" s="11">
        <f t="shared" si="1"/>
        <v>41040000</v>
      </c>
      <c r="J14" s="11">
        <f t="shared" si="1"/>
        <v>41040000</v>
      </c>
      <c r="K14" s="11">
        <f t="shared" si="1"/>
        <v>41040000</v>
      </c>
      <c r="L14" s="11">
        <f t="shared" si="1"/>
        <v>41040000</v>
      </c>
      <c r="M14" s="11">
        <f t="shared" si="1"/>
        <v>41040000</v>
      </c>
      <c r="N14" s="11">
        <f t="shared" si="0"/>
        <v>506540000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showGridLines="0" workbookViewId="0">
      <selection activeCell="A15" sqref="A15"/>
    </sheetView>
  </sheetViews>
  <sheetFormatPr baseColWidth="10" defaultColWidth="8.77734375" defaultRowHeight="14.4" x14ac:dyDescent="0.3"/>
  <cols>
    <col min="1" max="1" width="120" customWidth="1"/>
  </cols>
  <sheetData>
    <row r="1" spans="1:1" ht="18" x14ac:dyDescent="0.35">
      <c r="A1" s="1" t="s">
        <v>101</v>
      </c>
    </row>
    <row r="3" spans="1:1" x14ac:dyDescent="0.3">
      <c r="A3" s="12" t="s">
        <v>96</v>
      </c>
    </row>
    <row r="4" spans="1:1" x14ac:dyDescent="0.3">
      <c r="A4" s="12" t="s">
        <v>97</v>
      </c>
    </row>
    <row r="5" spans="1:1" x14ac:dyDescent="0.3">
      <c r="A5" s="12" t="s">
        <v>98</v>
      </c>
    </row>
    <row r="6" spans="1:1" x14ac:dyDescent="0.3">
      <c r="A6" s="12" t="s">
        <v>99</v>
      </c>
    </row>
    <row r="7" spans="1:1" x14ac:dyDescent="0.3">
      <c r="A7" s="1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00_Supuestos</vt:lpstr>
      <vt:lpstr>01_Presupuesto</vt:lpstr>
      <vt:lpstr>02_Resumen</vt:lpstr>
      <vt:lpstr>03_Instrucciones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Hortua</cp:lastModifiedBy>
  <dcterms:created xsi:type="dcterms:W3CDTF">2026-01-22T21:14:46Z</dcterms:created>
  <dcterms:modified xsi:type="dcterms:W3CDTF">2026-03-13T00:19:32Z</dcterms:modified>
</cp:coreProperties>
</file>